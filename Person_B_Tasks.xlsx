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sk Tracker" sheetId="1" state="visible" r:id="rId1"/>
    <sheet name="Gap Fixes You Own" sheetId="2" state="visible" r:id="rId2"/>
    <sheet name="Contract Refere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.5"/>
    </font>
    <font>
      <name val="Arial"/>
      <charset val="1"/>
      <family val="0"/>
      <b val="1"/>
      <sz val="11"/>
    </font>
    <font>
      <name val="Arial"/>
      <charset val="1"/>
      <family val="0"/>
      <b val="1"/>
      <sz val="10.5"/>
    </font>
    <font>
      <name val="Arial"/>
      <charset val="1"/>
      <family val="0"/>
      <b val="1"/>
      <color rgb="FFFFFFFF"/>
      <sz val="13"/>
    </font>
  </fonts>
  <fills count="5">
    <fill>
      <patternFill/>
    </fill>
    <fill>
      <patternFill patternType="gray125"/>
    </fill>
    <fill>
      <patternFill patternType="solid">
        <fgColor rgb="FFB8860B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10" customWidth="1" style="13" min="2" max="2"/>
    <col width="52" customWidth="1" style="13" min="3" max="3"/>
    <col width="16" customWidth="1" style="13" min="4" max="4"/>
    <col width="14" customWidth="1" style="13" min="5" max="5"/>
    <col width="28" customWidth="1" style="13" min="6" max="6"/>
  </cols>
  <sheetData>
    <row r="1" ht="27.75" customHeight="1" s="14">
      <c r="A1" s="15" t="inlineStr">
        <is>
          <t>Person B — Platform &amp; Agent — Patient Risk Intelligence Sprint (Jun 25 – Jul 9, 2026)</t>
        </is>
      </c>
    </row>
    <row r="3" ht="21.75" customHeight="1" s="14">
      <c r="A3" s="16" t="inlineStr">
        <is>
          <t>Date</t>
        </is>
      </c>
      <c r="B3" s="16" t="inlineStr">
        <is>
          <t>Day</t>
        </is>
      </c>
      <c r="C3" s="16" t="inlineStr">
        <is>
          <t>Task</t>
        </is>
      </c>
      <c r="D3" s="16" t="inlineStr">
        <is>
          <t>Category</t>
        </is>
      </c>
      <c r="E3" s="16" t="inlineStr">
        <is>
          <t>Status</t>
        </is>
      </c>
      <c r="F3" s="16" t="inlineStr">
        <is>
          <t>Notes</t>
        </is>
      </c>
    </row>
    <row r="4" ht="25.35" customHeight="1" s="14">
      <c r="A4" s="17" t="inlineStr">
        <is>
          <t>2026-06-25</t>
        </is>
      </c>
      <c r="B4" s="17" t="inlineStr">
        <is>
          <t>Thu</t>
        </is>
      </c>
      <c r="C4" s="18" t="inlineStr">
        <is>
          <t>Keycloak up (3 roles). Kong up. docker-compose.platform.yml skeleton.</t>
        </is>
      </c>
      <c r="D4" s="17" t="inlineStr">
        <is>
          <t>Infra</t>
        </is>
      </c>
      <c r="E4" s="17" t="inlineStr">
        <is>
          <t>Not started</t>
        </is>
      </c>
      <c r="F4" s="18" t="n"/>
    </row>
    <row r="5" ht="37.3" customHeight="1" s="14">
      <c r="A5" s="19" t="inlineStr">
        <is>
          <t>2026-06-26</t>
        </is>
      </c>
      <c r="B5" s="19" t="inlineStr">
        <is>
          <t>Fri</t>
        </is>
      </c>
      <c r="C5" s="20" t="inlineStr">
        <is>
          <t>Wire Kong&lt;-&gt;Keycloak token validation. Stand up registry-db (12 tables). Receive Person A's stub server — start building against it.</t>
        </is>
      </c>
      <c r="D5" s="19" t="inlineStr">
        <is>
          <t>Platform</t>
        </is>
      </c>
      <c r="E5" s="19" t="inlineStr">
        <is>
          <t>Not started</t>
        </is>
      </c>
      <c r="F5" s="20" t="inlineStr">
        <is>
          <t>Person A stub LIVE — MCP Streamable HTTP at http://localhost:8001/mcp (Kong route /mcp/clinical/vitals-trends/dev). Tools: get_vitals_trend, compute_news2_score, list_abnormal_vitals. Scope mcp.vitals.read. Returns FHIR Observation; 403 envelope on missing scope; no-token allowed for now.</t>
        </is>
      </c>
    </row>
    <row r="6" ht="25.35" customHeight="1" s="14">
      <c r="A6" s="17" t="inlineStr">
        <is>
          <t>2026-06-29</t>
        </is>
      </c>
      <c r="B6" s="17" t="inlineStr">
        <is>
          <t>Mon</t>
        </is>
      </c>
      <c r="C6" s="18" t="inlineStr">
        <is>
          <t>Build Onboarding Agent: discover -&gt; suggest -&gt; draft RBAC -&gt; assemble blueprint (against the stub schema).</t>
        </is>
      </c>
      <c r="D6" s="17" t="inlineStr">
        <is>
          <t>Agent</t>
        </is>
      </c>
      <c r="E6" s="17" t="inlineStr">
        <is>
          <t>Not started</t>
        </is>
      </c>
      <c r="F6" s="18" t="n"/>
    </row>
    <row r="7" ht="25.35" customHeight="1" s="14">
      <c r="A7" s="19" t="inlineStr">
        <is>
          <t>2026-06-30</t>
        </is>
      </c>
      <c r="B7" s="19" t="inlineStr">
        <is>
          <t>Tue</t>
        </is>
      </c>
      <c r="C7" s="20" t="inlineStr">
        <is>
          <t>Build Runtime Agent skeleton: Host + Client code, against the stub server.</t>
        </is>
      </c>
      <c r="D7" s="19" t="inlineStr">
        <is>
          <t>Agent</t>
        </is>
      </c>
      <c r="E7" s="19" t="inlineStr">
        <is>
          <t>Not started</t>
        </is>
      </c>
      <c r="F7" s="20" t="n"/>
    </row>
    <row r="8" ht="25.35" customHeight="1" s="14">
      <c r="A8" s="17" t="inlineStr">
        <is>
          <t>2026-07-01</t>
        </is>
      </c>
      <c r="B8" s="17" t="inlineStr">
        <is>
          <t>Wed</t>
        </is>
      </c>
      <c r="C8" s="18" t="inlineStr">
        <is>
          <t>Integrate Runtime Agent with real vitals_trends + labs_diagnoses.</t>
        </is>
      </c>
      <c r="D8" s="17" t="inlineStr">
        <is>
          <t>Agent</t>
        </is>
      </c>
      <c r="E8" s="17" t="inlineStr">
        <is>
          <t>Not started</t>
        </is>
      </c>
      <c r="F8" s="18" t="n"/>
    </row>
    <row r="9" ht="25.35" customHeight="1" s="14">
      <c r="A9" s="19" t="inlineStr">
        <is>
          <t>2026-07-02</t>
        </is>
      </c>
      <c r="B9" s="19" t="inlineStr">
        <is>
          <t>Thu</t>
        </is>
      </c>
      <c r="C9" s="20" t="inlineStr">
        <is>
          <t>Integrate medications_interactions; finalize 3-source fusion logic with citations.</t>
        </is>
      </c>
      <c r="D9" s="19" t="inlineStr">
        <is>
          <t>Agent</t>
        </is>
      </c>
      <c r="E9" s="19" t="inlineStr">
        <is>
          <t>Not started</t>
        </is>
      </c>
      <c r="F9" s="20" t="n"/>
    </row>
    <row r="10" ht="25.35" customHeight="1" s="14">
      <c r="A10" s="17" t="inlineStr">
        <is>
          <t>2026-07-03</t>
        </is>
      </c>
      <c r="B10" s="17" t="inlineStr">
        <is>
          <t>Fri</t>
        </is>
      </c>
      <c r="C10" s="18" t="inlineStr">
        <is>
          <t>CopilotKit chat wired to agent + NextAuth.js login against Keycloak. OTel/Jaeger across 3 servers. CHECKPOINT.</t>
        </is>
      </c>
      <c r="D10" s="17" t="inlineStr">
        <is>
          <t>Frontend</t>
        </is>
      </c>
      <c r="E10" s="17" t="inlineStr">
        <is>
          <t>Not started</t>
        </is>
      </c>
      <c r="F10" s="18" t="n"/>
    </row>
    <row r="11" ht="37.3" customHeight="1" s="14">
      <c r="A11" s="19" t="inlineStr">
        <is>
          <t>2026-07-06</t>
        </is>
      </c>
      <c r="B11" s="19" t="inlineStr">
        <is>
          <t>Mon</t>
        </is>
      </c>
      <c r="C11" s="20" t="inlineStr">
        <is>
          <t>Tremor dashboard skeleton (KPIs, registry status, RBAC breakdown). Add non-anonymous token check to registry-api.</t>
        </is>
      </c>
      <c r="D11" s="19" t="inlineStr">
        <is>
          <t>Frontend</t>
        </is>
      </c>
      <c r="E11" s="19" t="inlineStr">
        <is>
          <t>Not started</t>
        </is>
      </c>
      <c r="F11" s="20" t="n"/>
    </row>
    <row r="12" ht="25.35" customHeight="1" s="14">
      <c r="A12" s="17" t="inlineStr">
        <is>
          <t>2026-07-07</t>
        </is>
      </c>
      <c r="B12" s="17" t="inlineStr">
        <is>
          <t>Tue</t>
        </is>
      </c>
      <c r="C12" s="18" t="inlineStr">
        <is>
          <t>Integrate 4th MCP Client (clinical_notes_search) if Person A shipped it; finalize citation-based answer synthesis.</t>
        </is>
      </c>
      <c r="D12" s="17" t="inlineStr">
        <is>
          <t>Agent</t>
        </is>
      </c>
      <c r="E12" s="17" t="inlineStr">
        <is>
          <t>Not started</t>
        </is>
      </c>
      <c r="F12" s="18" t="n"/>
    </row>
    <row r="13" ht="25.35" customHeight="1" s="14">
      <c r="A13" s="19" t="inlineStr">
        <is>
          <t>2026-07-08</t>
        </is>
      </c>
      <c r="B13" s="19" t="inlineStr">
        <is>
          <t>Wed</t>
        </is>
      </c>
      <c r="C13" s="20" t="inlineStr">
        <is>
          <t>Rate-limit (429) and expired-token (401) demo configs in Kong. Record a full backup demo video.</t>
        </is>
      </c>
      <c r="D13" s="19" t="inlineStr">
        <is>
          <t>Demo Prep</t>
        </is>
      </c>
      <c r="E13" s="19" t="inlineStr">
        <is>
          <t>Not started</t>
        </is>
      </c>
      <c r="F13" s="20" t="n"/>
    </row>
    <row r="14" ht="15" customHeight="1" s="14">
      <c r="A14" s="17" t="inlineStr">
        <is>
          <t>2026-07-09</t>
        </is>
      </c>
      <c r="B14" s="17" t="inlineStr">
        <is>
          <t>Thu</t>
        </is>
      </c>
      <c r="C14" s="18" t="inlineStr">
        <is>
          <t>Final fixes. Live demo support.</t>
        </is>
      </c>
      <c r="D14" s="17" t="inlineStr">
        <is>
          <t>Demo</t>
        </is>
      </c>
      <c r="E14" s="17" t="inlineStr">
        <is>
          <t>Not started</t>
        </is>
      </c>
      <c r="F14" s="18" t="n"/>
    </row>
    <row r="16" ht="15" customHeight="1" s="14">
      <c r="A16" s="21" t="inlineStr">
        <is>
          <t>Progress</t>
        </is>
      </c>
      <c r="B16" s="22" t="n"/>
      <c r="C16" s="22" t="n"/>
      <c r="D16" s="22" t="n"/>
      <c r="E16" s="22" t="n"/>
      <c r="F16" s="23" t="n"/>
    </row>
    <row r="17" ht="15" customHeight="1" s="14">
      <c r="A17" s="24" t="inlineStr">
        <is>
          <t>Tasks Done:</t>
        </is>
      </c>
      <c r="B17" s="25">
        <f>COUNTIF(E4:E14,"Done")</f>
        <v/>
      </c>
    </row>
    <row r="18" ht="15" customHeight="1" s="14">
      <c r="A18" s="24" t="inlineStr">
        <is>
          <t>Total Tasks:</t>
        </is>
      </c>
      <c r="B18" s="25">
        <f>14-3</f>
        <v/>
      </c>
    </row>
    <row r="19" ht="15" customHeight="1" s="14">
      <c r="A19" s="24" t="inlineStr">
        <is>
          <t>% Complete:</t>
        </is>
      </c>
      <c r="B19" s="26">
        <f>B17/B18</f>
        <v/>
      </c>
    </row>
  </sheetData>
  <mergeCells count="2">
    <mergeCell ref="A16:F16"/>
    <mergeCell ref="A1:F1"/>
  </mergeCells>
  <dataValidations count="1">
    <dataValidation sqref="E4:E14" showDropDown="0" showInputMessage="0" showErrorMessage="0" allowBlank="0" type="list" errorStyle="stop" operator="between">
      <formula1>"Not started,In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45" customWidth="1" style="13" min="2" max="2"/>
    <col width="30" customWidth="1" style="13" min="3" max="3"/>
    <col width="14" customWidth="1" style="13" min="4" max="4"/>
  </cols>
  <sheetData>
    <row r="1" ht="25.5" customHeight="1" s="14">
      <c r="A1" s="27" t="inlineStr">
        <is>
          <t>Gap Fixes — Items Added During the Audit</t>
        </is>
      </c>
    </row>
    <row r="3" ht="15" customHeight="1" s="14">
      <c r="A3" s="16" t="inlineStr">
        <is>
          <t>Gap</t>
        </is>
      </c>
      <c r="B3" s="16" t="inlineStr">
        <is>
          <t>Fix</t>
        </is>
      </c>
      <c r="C3" s="16" t="inlineStr">
        <is>
          <t>File(s)</t>
        </is>
      </c>
      <c r="D3" s="16" t="inlineStr">
        <is>
          <t>Status</t>
        </is>
      </c>
    </row>
    <row r="4" ht="25.35" customHeight="1" s="14">
      <c r="A4" s="20" t="inlineStr">
        <is>
          <t>No documented way for a user's token to reach the Runtime Agent</t>
        </is>
      </c>
      <c r="B4" s="20" t="inlineStr">
        <is>
          <t>NextAuth.js with Keycloak as OIDC provider; token forwarded as Bearer header</t>
        </is>
      </c>
      <c r="C4" s="20" t="inlineStr">
        <is>
          <t>frontend/app/api/auth/[...nextauth]/route.ts</t>
        </is>
      </c>
      <c r="D4" s="20" t="inlineStr">
        <is>
          <t>Not started</t>
        </is>
      </c>
    </row>
    <row r="5" ht="25.35" customHeight="1" s="14">
      <c r="A5" s="18" t="inlineStr">
        <is>
          <t>registry-api had zero access control</t>
        </is>
      </c>
      <c r="B5" s="18" t="inlineStr">
        <is>
          <t>Require a valid, non-anonymous Keycloak token on every request</t>
        </is>
      </c>
      <c r="C5" s="18" t="inlineStr">
        <is>
          <t>backend/registry/auth.py</t>
        </is>
      </c>
      <c r="D5" s="18" t="inlineStr">
        <is>
          <t>Not started</t>
        </is>
      </c>
    </row>
    <row r="6" ht="25.35" customHeight="1" s="14">
      <c r="A6" s="20" t="inlineStr">
        <is>
          <t>purpose_of_access was unconstrained free text</t>
        </is>
      </c>
      <c r="B6" s="20" t="inlineStr">
        <is>
          <t>Chat UI reason-for-query selector offers the fixed 5-value enum</t>
        </is>
      </c>
      <c r="C6" s="20" t="inlineStr">
        <is>
          <t>frontend/app/chat/page.tsx</t>
        </is>
      </c>
      <c r="D6" s="20" t="inlineStr">
        <is>
          <t>Not started</t>
        </is>
      </c>
    </row>
    <row r="7" ht="25.35" customHeight="1" s="14">
      <c r="A7" s="18" t="inlineStr">
        <is>
          <t>Doctor notes vs. other note types were conflated</t>
        </is>
      </c>
      <c r="B7" s="18" t="inlineStr">
        <is>
          <t>Runtime Agent must pass note_type through when citing clinical_notes_search results</t>
        </is>
      </c>
      <c r="C7" s="18" t="inlineStr">
        <is>
          <t>agent/runtime_agent.py, agent/prompts.py</t>
        </is>
      </c>
      <c r="D7" s="18" t="inlineStr">
        <is>
          <t>Not started</t>
        </is>
      </c>
    </row>
  </sheetData>
  <mergeCells count="1">
    <mergeCell ref="A1:D1"/>
  </mergeCells>
  <dataValidations count="1">
    <dataValidation sqref="D4:D7" showDropDown="0" showInputMessage="0" showErrorMessage="0" allowBlank="0" type="list" errorStyle="stop" operator="between">
      <formula1>"Not started,In progress,Done"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" min="1" max="1"/>
    <col width="45" customWidth="1" style="13" min="2" max="2"/>
    <col width="35" customWidth="1" style="13" min="3" max="3"/>
  </cols>
  <sheetData>
    <row r="1" ht="25.5" customHeight="1" s="14">
      <c r="A1" s="28" t="inlineStr">
        <is>
          <t>Integration Contract — Read-Only Reference</t>
        </is>
      </c>
    </row>
    <row r="3" ht="15" customHeight="1" s="14">
      <c r="A3" s="16" t="inlineStr">
        <is>
          <t>Item</t>
        </is>
      </c>
      <c r="B3" s="16" t="inlineStr">
        <is>
          <t>Value</t>
        </is>
      </c>
      <c r="C3" s="16" t="inlineStr">
        <is>
          <t>Notes</t>
        </is>
      </c>
    </row>
    <row r="4" ht="15" customHeight="1" s="14">
      <c r="A4" s="20" t="inlineStr">
        <is>
          <t>Token claims</t>
        </is>
      </c>
      <c r="B4" s="20" t="inlineStr">
        <is>
          <t>sub, oid, groups[], scp</t>
        </is>
      </c>
      <c r="C4" s="20" t="inlineStr">
        <is>
          <t>scp is space-separated scopes</t>
        </is>
      </c>
    </row>
    <row r="5" ht="37.3" customHeight="1" s="14">
      <c r="A5" s="18" t="inlineStr">
        <is>
          <t>vitals_trends scope</t>
        </is>
      </c>
      <c r="B5" s="18" t="inlineStr">
        <is>
          <t>mcp.vitals.read</t>
        </is>
      </c>
      <c r="C5" s="18" t="inlineStr">
        <is>
          <t>Tools: get_vitals_trend, compute_news2_score, list_abnormal_vitals</t>
        </is>
      </c>
    </row>
    <row r="6" ht="37.3" customHeight="1" s="14">
      <c r="A6" s="20" t="inlineStr">
        <is>
          <t>labs_diagnoses scope</t>
        </is>
      </c>
      <c r="B6" s="20" t="inlineStr">
        <is>
          <t>mcp.labs.read</t>
        </is>
      </c>
      <c r="C6" s="20" t="inlineStr">
        <is>
          <t>Tools: get_lab_trend, get_active_diagnoses, get_diagnosis_history</t>
        </is>
      </c>
    </row>
    <row r="7" ht="37.3" customHeight="1" s="14">
      <c r="A7" s="18" t="inlineStr">
        <is>
          <t>medications_interactions scope</t>
        </is>
      </c>
      <c r="B7" s="18" t="inlineStr">
        <is>
          <t>mcp.meds.read</t>
        </is>
      </c>
      <c r="C7" s="18" t="inlineStr">
        <is>
          <t>Tools: get_active_medications, check_drug_interactions, get_polypharmacy_risk</t>
        </is>
      </c>
    </row>
    <row r="8" ht="25.35" customHeight="1" s="14">
      <c r="A8" s="20" t="inlineStr">
        <is>
          <t>clinical_notes_search scope</t>
        </is>
      </c>
      <c r="B8" s="20" t="inlineStr">
        <is>
          <t>mcp.notes.read</t>
        </is>
      </c>
      <c r="C8" s="20" t="inlineStr">
        <is>
          <t>Tools: semantic_search_notes, get_recent_notes, get_notes_by_type</t>
        </is>
      </c>
    </row>
    <row r="9" ht="15" customHeight="1" s="14">
      <c r="A9" s="18" t="inlineStr">
        <is>
          <t>RBAC — clinical-viewer</t>
        </is>
      </c>
      <c r="B9" s="18" t="inlineStr">
        <is>
          <t>Allow vitals, labs · Deny meds, notes</t>
        </is>
      </c>
      <c r="C9" s="18" t="inlineStr">
        <is>
          <t>—</t>
        </is>
      </c>
    </row>
    <row r="10" ht="15" customHeight="1" s="14">
      <c r="A10" s="20" t="inlineStr">
        <is>
          <t>RBAC — physician</t>
        </is>
      </c>
      <c r="B10" s="20" t="inlineStr">
        <is>
          <t>Allow all 4</t>
        </is>
      </c>
      <c r="C10" s="20" t="inlineStr">
        <is>
          <t>—</t>
        </is>
      </c>
    </row>
    <row r="11" ht="15" customHeight="1" s="14">
      <c r="A11" s="18" t="inlineStr">
        <is>
          <t>RBAC — case-manager</t>
        </is>
      </c>
      <c r="B11" s="18" t="inlineStr">
        <is>
          <t>Deny vitals, labs, meds · Allow notes</t>
        </is>
      </c>
      <c r="C11" s="18" t="inlineStr">
        <is>
          <t>—</t>
        </is>
      </c>
    </row>
    <row r="12" ht="37.3" customHeight="1" s="14">
      <c r="A12" s="20" t="inlineStr">
        <is>
          <t>purpose_of_access enum</t>
        </is>
      </c>
      <c r="B12" s="20" t="inlineStr">
        <is>
          <t>deterioration_review, medication_reconciliation, discharge_planning, care_coordination, routine_review</t>
        </is>
      </c>
      <c r="C12" s="20" t="inlineStr">
        <is>
          <t>routine_review is default</t>
        </is>
      </c>
    </row>
    <row r="13" ht="25.35" customHeight="1" s="14">
      <c r="A13" s="18" t="inlineStr">
        <is>
          <t>Denial response shape</t>
        </is>
      </c>
      <c r="B13" s="18" t="inlineStr">
        <is>
          <t>{"error":{"code":"forbidden","reason":"missing scope &lt;scope&gt;"}}</t>
        </is>
      </c>
      <c r="C13" s="18" t="inlineStr">
        <is>
          <t>HTTP 403 — render `reason` directly in chat UI</t>
        </is>
      </c>
    </row>
    <row r="14" ht="15" customHeight="1" s="14">
      <c r="A14" s="20" t="inlineStr">
        <is>
          <t>Day-1 stub server</t>
        </is>
      </c>
      <c r="B14" s="20" t="inlineStr">
        <is>
          <t>Hardcoded JSON, real tool names, real Kong route</t>
        </is>
      </c>
      <c r="C14" s="20" t="inlineStr">
        <is>
          <t>Owed by Person A end of day Jun 26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2026-06-25T12:34:53Z</dcterms:created>
  <dcterms:modified xsi:type="dcterms:W3CDTF">2026-06-25T23:15:37Z</dcterms:modified>
  <cp:revision>0</cp:revision>
</cp:coreProperties>
</file>